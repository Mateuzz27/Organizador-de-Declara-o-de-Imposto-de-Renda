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chau\Documents\"/>
    </mc:Choice>
  </mc:AlternateContent>
  <xr:revisionPtr revIDLastSave="0" documentId="8_{A00803A6-2474-47F9-8D75-F565CADB7DBC}" xr6:coauthVersionLast="47" xr6:coauthVersionMax="47" xr10:uidLastSave="{00000000-0000-0000-0000-000000000000}"/>
  <bookViews>
    <workbookView xWindow="-105" yWindow="0" windowWidth="14610" windowHeight="16305" tabRatio="496" activeTab="1" xr2:uid="{1C1F6274-6663-434E-B6B1-2886BA4432A3}"/>
  </bookViews>
  <sheets>
    <sheet name="Titular" sheetId="3" r:id="rId1"/>
    <sheet name="INFORMES" sheetId="4" r:id="rId2"/>
    <sheet name="NOTAS" sheetId="5" r:id="rId3"/>
    <sheet name="Planilha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4" l="1"/>
</calcChain>
</file>

<file path=xl/sharedStrings.xml><?xml version="1.0" encoding="utf-8"?>
<sst xmlns="http://schemas.openxmlformats.org/spreadsheetml/2006/main" count="101" uniqueCount="90">
  <si>
    <t>104 - Caixa Econômica Federal</t>
  </si>
  <si>
    <t>260 - Nubank</t>
  </si>
  <si>
    <t>654 - Banco AJ Renner</t>
  </si>
  <si>
    <t>218 - Banco Bonsucesso</t>
  </si>
  <si>
    <t>237 - Banco Bradesco</t>
  </si>
  <si>
    <t>208 - Banco BTG Pactual</t>
  </si>
  <si>
    <t>44 - Banco BVA</t>
  </si>
  <si>
    <t>241 - Banco Clássico</t>
  </si>
  <si>
    <t>229 - Banco Cruzeiro do Sul</t>
  </si>
  <si>
    <t>3 - Banco da Amazônia</t>
  </si>
  <si>
    <t>707 - Banco Daycoval</t>
  </si>
  <si>
    <t>250 - Banco de Crédito e Varejo (BCV)</t>
  </si>
  <si>
    <t>24 - Banco de Pernambuco</t>
  </si>
  <si>
    <t>1 - Banco do Brasil</t>
  </si>
  <si>
    <t>37 - Banco do Estado do Pará</t>
  </si>
  <si>
    <t>29 - Banco do Estado do Rio de Janeiro</t>
  </si>
  <si>
    <t>41 - Banco do Estado do Rio Grande do Sul</t>
  </si>
  <si>
    <t>4 - Banco do Nordeste do Brasil</t>
  </si>
  <si>
    <t>734 - Banco Gerdau</t>
  </si>
  <si>
    <t>604 - Banco Industrial do Brasil</t>
  </si>
  <si>
    <t>77 - Banco Inter</t>
  </si>
  <si>
    <t>74 - Banco J. Safra</t>
  </si>
  <si>
    <t>79 - Banco JBS</t>
  </si>
  <si>
    <t>65 - Banco Lemon</t>
  </si>
  <si>
    <t>600 - Banco Luso Brasileiro</t>
  </si>
  <si>
    <t>746 - Banco Modal</t>
  </si>
  <si>
    <t>66 - Banco Morgan Stanley</t>
  </si>
  <si>
    <t>735 - Banco Neon</t>
  </si>
  <si>
    <t>212 - Banco Original</t>
  </si>
  <si>
    <t>72 - Banco Rural Mais</t>
  </si>
  <si>
    <t>422 - Banco Safra</t>
  </si>
  <si>
    <t>33 - Banco Santander</t>
  </si>
  <si>
    <t>749 - Banco Simples</t>
  </si>
  <si>
    <t>464 - Banco Sumitomo Mitsui Brasileiro</t>
  </si>
  <si>
    <t>82 - Banco Topázio</t>
  </si>
  <si>
    <t>634 - Banco Triângulo</t>
  </si>
  <si>
    <t>655 - Banco Votorantim</t>
  </si>
  <si>
    <t>610 - Banco VR</t>
  </si>
  <si>
    <t>119 - Banco Western Union do Brasil</t>
  </si>
  <si>
    <t>336 - C6 Bank</t>
  </si>
  <si>
    <t>477 - Citibank</t>
  </si>
  <si>
    <t>62 - Hipercard Banco Múltiplo</t>
  </si>
  <si>
    <t>341 - Itaú Unibanco</t>
  </si>
  <si>
    <t>197 - Stone Pagamentos</t>
  </si>
  <si>
    <t>290 - PagBank</t>
  </si>
  <si>
    <t>380 - PicPay</t>
  </si>
  <si>
    <t>184 - Banco Itaú BBA S.A.</t>
  </si>
  <si>
    <t>748 - Banco Cooperativo Sicredi S.A.</t>
  </si>
  <si>
    <t>102 - XP Investimentos CCTVM S.A.</t>
  </si>
  <si>
    <t>376 - Banco JPMorgan S.A.</t>
  </si>
  <si>
    <t xml:space="preserve">  </t>
  </si>
  <si>
    <t>NOME</t>
  </si>
  <si>
    <t>CPF</t>
  </si>
  <si>
    <t>NASCIMENTO</t>
  </si>
  <si>
    <t>CÔNJUGE</t>
  </si>
  <si>
    <t>RUA</t>
  </si>
  <si>
    <t>RUA ABRE.</t>
  </si>
  <si>
    <t>CEP</t>
  </si>
  <si>
    <t>TELEFONE</t>
  </si>
  <si>
    <t>CELULAR</t>
  </si>
  <si>
    <t>E-MAIL</t>
  </si>
  <si>
    <t>ALTERAÇÃO DA ENTREGA ANTERIOR</t>
  </si>
  <si>
    <t>DEPENDETE CÔNJUGE</t>
  </si>
  <si>
    <t>RESIDENTE EXTERIOR</t>
  </si>
  <si>
    <t>1. DADOS DO TITULAR</t>
  </si>
  <si>
    <t>SIM</t>
  </si>
  <si>
    <t>NÃO</t>
  </si>
  <si>
    <t>JOAQUIM FERREIRA</t>
  </si>
  <si>
    <t>RUA SEIXAS SEVENT - N 67°</t>
  </si>
  <si>
    <t>TITULO DE ELEITOR</t>
  </si>
  <si>
    <t>LARISSA SILVA</t>
  </si>
  <si>
    <t>JOAQ.FERRER@EMAIL.COM</t>
  </si>
  <si>
    <t>RUA SEIXAS S. - N 67°</t>
  </si>
  <si>
    <t>12∕07∕1996</t>
  </si>
  <si>
    <t>2. INFORMES DE RENDIMENTO BANCÁRIO</t>
  </si>
  <si>
    <t>BANCO</t>
  </si>
  <si>
    <t>VALOR ATUAL</t>
  </si>
  <si>
    <t>BSNCIX.PDF</t>
  </si>
  <si>
    <t>ANEXO🖇️</t>
  </si>
  <si>
    <t>1°BANCO</t>
  </si>
  <si>
    <t>3°BANCO</t>
  </si>
  <si>
    <t>2°BANCO</t>
  </si>
  <si>
    <t>BWUCIX.PDF</t>
  </si>
  <si>
    <t>TOTAL</t>
  </si>
  <si>
    <t>2. NOTAS BANCÁRIAS</t>
  </si>
  <si>
    <t>DATA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</si>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</sst>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\ 000&quot;.&quot;000&quot;.&quot;000&quot;-&quot;00"/>
    <numFmt numFmtId="169" formatCode="00000\-000"/>
    <numFmt numFmtId="171" formatCode="&quot;(&quot;00&quot;)&quot;0000&quot;.&quot;0000\ "/>
    <numFmt numFmtId="172" formatCode="&quot;R$&quot;\ #,##0.00"/>
    <numFmt numFmtId="173" formatCode="mm/yyyy"/>
  </numFmts>
  <fonts count="12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Bahnschrift SemiCondensed"/>
      <family val="2"/>
    </font>
    <font>
      <b/>
      <sz val="13"/>
      <color theme="3"/>
      <name val="Bahnschrift SemiBold SemiConden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Bahnschrift SemiCondensed"/>
      <family val="2"/>
    </font>
    <font>
      <sz val="11"/>
      <color rgb="FF10021C"/>
      <name val="Bahnschrift SemiBold SemiConden"/>
      <family val="2"/>
    </font>
    <font>
      <b/>
      <sz val="13"/>
      <color rgb="FF10021C"/>
      <name val="Bahnschrift SemiBold SemiConden"/>
      <family val="2"/>
    </font>
    <font>
      <sz val="11"/>
      <color rgb="FF9C5700"/>
      <name val="Bahnschrift SemiCondensed"/>
      <family val="2"/>
    </font>
    <font>
      <b/>
      <sz val="11"/>
      <color theme="1"/>
      <name val="Bahnschrift SemiBold"/>
      <family val="2"/>
    </font>
    <font>
      <b/>
      <sz val="14"/>
      <color theme="1"/>
      <name val="Bahnschrift SemiBold"/>
      <family val="2"/>
    </font>
  </fonts>
  <fills count="7">
    <fill>
      <patternFill patternType="none"/>
    </fill>
    <fill>
      <patternFill patternType="gray125"/>
    </fill>
    <fill>
      <patternFill patternType="solid">
        <fgColor rgb="FFBE994E"/>
        <bgColor indexed="64"/>
      </patternFill>
    </fill>
    <fill>
      <patternFill patternType="solid">
        <fgColor rgb="FFFFEB9C"/>
      </patternFill>
    </fill>
    <fill>
      <patternFill patternType="solid">
        <fgColor rgb="FFD8C194"/>
        <bgColor indexed="64"/>
      </patternFill>
    </fill>
    <fill>
      <patternFill patternType="solid">
        <fgColor rgb="FF10021C"/>
        <bgColor indexed="64"/>
      </patternFill>
    </fill>
    <fill>
      <patternFill patternType="solid">
        <fgColor rgb="FF9D7C3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/>
      <bottom style="thick">
        <color rgb="FFBE994E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3" fillId="0" borderId="0" xfId="0" applyFont="1"/>
    <xf numFmtId="0" fontId="3" fillId="2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0" fillId="5" borderId="0" xfId="0" applyFill="1"/>
    <xf numFmtId="0" fontId="4" fillId="0" borderId="8" xfId="1" applyFont="1" applyBorder="1"/>
    <xf numFmtId="172" fontId="6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/>
    </xf>
    <xf numFmtId="0" fontId="7" fillId="0" borderId="0" xfId="0" applyFont="1"/>
    <xf numFmtId="0" fontId="8" fillId="0" borderId="8" xfId="1" applyFont="1" applyBorder="1"/>
    <xf numFmtId="0" fontId="10" fillId="0" borderId="0" xfId="0" applyFont="1"/>
    <xf numFmtId="0" fontId="11" fillId="2" borderId="18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2" fillId="4" borderId="3" xfId="2" applyFill="1" applyBorder="1" applyAlignment="1" applyProtection="1">
      <alignment horizontal="right"/>
      <protection locked="0"/>
    </xf>
    <xf numFmtId="168" fontId="2" fillId="4" borderId="5" xfId="2" applyNumberFormat="1" applyFill="1" applyBorder="1" applyAlignment="1" applyProtection="1">
      <alignment horizontal="right"/>
      <protection locked="0"/>
    </xf>
    <xf numFmtId="14" fontId="2" fillId="4" borderId="5" xfId="2" applyNumberFormat="1" applyFill="1" applyBorder="1" applyAlignment="1" applyProtection="1">
      <alignment horizontal="right"/>
      <protection locked="0"/>
    </xf>
    <xf numFmtId="0" fontId="2" fillId="4" borderId="5" xfId="2" applyFill="1" applyBorder="1" applyAlignment="1" applyProtection="1">
      <alignment horizontal="right"/>
      <protection locked="0"/>
    </xf>
    <xf numFmtId="169" fontId="2" fillId="4" borderId="5" xfId="2" applyNumberFormat="1" applyFill="1" applyBorder="1" applyAlignment="1" applyProtection="1">
      <alignment horizontal="right"/>
      <protection locked="0"/>
    </xf>
    <xf numFmtId="171" fontId="2" fillId="4" borderId="5" xfId="2" applyNumberFormat="1" applyFill="1" applyBorder="1" applyAlignment="1" applyProtection="1">
      <alignment horizontal="right"/>
      <protection locked="0"/>
    </xf>
    <xf numFmtId="0" fontId="5" fillId="4" borderId="5" xfId="3" applyFill="1" applyBorder="1" applyAlignment="1" applyProtection="1">
      <alignment horizontal="right"/>
      <protection locked="0"/>
    </xf>
    <xf numFmtId="0" fontId="2" fillId="4" borderId="7" xfId="2" applyFill="1" applyBorder="1" applyAlignment="1" applyProtection="1">
      <alignment horizontal="right"/>
      <protection locked="0"/>
    </xf>
    <xf numFmtId="0" fontId="9" fillId="4" borderId="3" xfId="2" applyFont="1" applyFill="1" applyBorder="1" applyAlignment="1" applyProtection="1">
      <alignment horizontal="right"/>
      <protection locked="0"/>
    </xf>
    <xf numFmtId="172" fontId="9" fillId="4" borderId="5" xfId="2" applyNumberFormat="1" applyFont="1" applyFill="1" applyBorder="1" applyAlignment="1" applyProtection="1">
      <alignment horizontal="right"/>
      <protection locked="0"/>
    </xf>
    <xf numFmtId="14" fontId="9" fillId="4" borderId="5" xfId="2" applyNumberFormat="1" applyFont="1" applyFill="1" applyBorder="1" applyAlignment="1" applyProtection="1">
      <alignment horizontal="right"/>
      <protection locked="0"/>
    </xf>
    <xf numFmtId="173" fontId="3" fillId="4" borderId="15" xfId="0" applyNumberFormat="1" applyFont="1" applyFill="1" applyBorder="1" applyAlignment="1" applyProtection="1">
      <alignment horizontal="center"/>
      <protection locked="0"/>
    </xf>
    <xf numFmtId="0" fontId="3" fillId="4" borderId="16" xfId="0" applyFont="1" applyFill="1" applyBorder="1" applyAlignment="1" applyProtection="1">
      <alignment horizontal="center"/>
      <protection locked="0"/>
    </xf>
    <xf numFmtId="172" fontId="3" fillId="4" borderId="17" xfId="0" applyNumberFormat="1" applyFont="1" applyFill="1" applyBorder="1" applyAlignment="1" applyProtection="1">
      <alignment horizontal="center"/>
      <protection locked="0"/>
    </xf>
    <xf numFmtId="0" fontId="3" fillId="4" borderId="12" xfId="0" applyFont="1" applyFill="1" applyBorder="1" applyAlignment="1" applyProtection="1">
      <alignment horizontal="center"/>
      <protection locked="0"/>
    </xf>
    <xf numFmtId="0" fontId="3" fillId="4" borderId="13" xfId="0" applyFont="1" applyFill="1" applyBorder="1" applyAlignment="1" applyProtection="1">
      <alignment horizontal="center"/>
      <protection locked="0"/>
    </xf>
    <xf numFmtId="172" fontId="3" fillId="4" borderId="14" xfId="0" applyNumberFormat="1" applyFont="1" applyFill="1" applyBorder="1" applyAlignment="1" applyProtection="1">
      <alignment horizontal="center"/>
      <protection locked="0"/>
    </xf>
    <xf numFmtId="0" fontId="3" fillId="4" borderId="15" xfId="0" applyFont="1" applyFill="1" applyBorder="1" applyAlignment="1" applyProtection="1">
      <alignment horizontal="center"/>
      <protection locked="0"/>
    </xf>
    <xf numFmtId="0" fontId="0" fillId="0" borderId="0" xfId="0"/>
  </cellXfs>
  <cellStyles count="4">
    <cellStyle name="Hiperlink" xfId="3" builtinId="8"/>
    <cellStyle name="Neutro" xfId="2" builtinId="28"/>
    <cellStyle name="Normal" xfId="0" builtinId="0"/>
    <cellStyle name="Título 2" xfId="1" builtinId="17"/>
  </cellStyles>
  <dxfs count="8"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fill>
        <patternFill patternType="solid">
          <fgColor indexed="64"/>
          <bgColor rgb="FFD8C194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numFmt numFmtId="172" formatCode="&quot;R$&quot;\ #,##0.00"/>
      <fill>
        <patternFill patternType="solid">
          <fgColor indexed="64"/>
          <bgColor rgb="FFD8C19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fill>
        <patternFill patternType="solid">
          <fgColor indexed="64"/>
          <bgColor rgb="FFD8C19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Bahnschrift SemiCondensed"/>
        <family val="2"/>
        <scheme val="none"/>
      </font>
      <fill>
        <patternFill patternType="solid">
          <fgColor indexed="64"/>
          <bgColor rgb="FFD8C194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 SemiBold"/>
        <family val="2"/>
        <scheme val="none"/>
      </font>
      <fill>
        <patternFill patternType="solid">
          <fgColor indexed="64"/>
          <bgColor rgb="FF9D7C3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mruColors>
      <color rgb="FFD8C194"/>
      <color rgb="FF9D7C39"/>
      <color rgb="FFBE994E"/>
      <color rgb="FF10021C"/>
      <color rgb="FF24043E"/>
      <color rgb="FF290646"/>
      <color rgb="FF2D064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itular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19050</xdr:rowOff>
    </xdr:from>
    <xdr:to>
      <xdr:col>1</xdr:col>
      <xdr:colOff>0</xdr:colOff>
      <xdr:row>10</xdr:row>
      <xdr:rowOff>66675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600C143C-424E-39D4-815D-9F0A2EBF4611}"/>
            </a:ext>
          </a:extLst>
        </xdr:cNvPr>
        <xdr:cNvGrpSpPr/>
      </xdr:nvGrpSpPr>
      <xdr:grpSpPr>
        <a:xfrm>
          <a:off x="0" y="209550"/>
          <a:ext cx="2486025" cy="1800225"/>
          <a:chOff x="0" y="209550"/>
          <a:chExt cx="2486025" cy="1800225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62DB94F3-A9EB-0093-79E5-2C97D726BC9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4286" b="13756"/>
          <a:stretch/>
        </xdr:blipFill>
        <xdr:spPr>
          <a:xfrm>
            <a:off x="272671" y="714375"/>
            <a:ext cx="1940683" cy="1295400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070E6F1D-5C53-0FA9-EE39-AEE92BD634AD}"/>
              </a:ext>
            </a:extLst>
          </xdr:cNvPr>
          <xdr:cNvSpPr/>
        </xdr:nvSpPr>
        <xdr:spPr>
          <a:xfrm>
            <a:off x="0" y="209550"/>
            <a:ext cx="2486025" cy="533399"/>
          </a:xfrm>
          <a:prstGeom prst="rect">
            <a:avLst/>
          </a:prstGeom>
          <a:noFill/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3600">
                <a:solidFill>
                  <a:schemeClr val="tx1"/>
                </a:solidFill>
                <a:latin typeface="Bahnschrift Condensed" panose="020B0502040204020203" pitchFamily="34" charset="0"/>
              </a:rPr>
              <a:t>JAGUAR TAX</a:t>
            </a:r>
          </a:p>
        </xdr:txBody>
      </xdr:sp>
    </xdr:grpSp>
    <xdr:clientData/>
  </xdr:twoCellAnchor>
  <xdr:twoCellAnchor editAs="absolute">
    <xdr:from>
      <xdr:col>0</xdr:col>
      <xdr:colOff>76200</xdr:colOff>
      <xdr:row>10</xdr:row>
      <xdr:rowOff>161925</xdr:rowOff>
    </xdr:from>
    <xdr:to>
      <xdr:col>0</xdr:col>
      <xdr:colOff>2438400</xdr:colOff>
      <xdr:row>14</xdr:row>
      <xdr:rowOff>180975</xdr:rowOff>
    </xdr:to>
    <xdr:sp macro="" textlink="">
      <xdr:nvSpPr>
        <xdr:cNvPr id="6" name="Retângulo: Cantos Diagonai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9EAE91-9BBE-7070-E23B-F0400DDC4DA1}"/>
            </a:ext>
          </a:extLst>
        </xdr:cNvPr>
        <xdr:cNvSpPr/>
      </xdr:nvSpPr>
      <xdr:spPr>
        <a:xfrm>
          <a:off x="76200" y="2105025"/>
          <a:ext cx="2362200" cy="781050"/>
        </a:xfrm>
        <a:prstGeom prst="round2DiagRect">
          <a:avLst/>
        </a:prstGeom>
        <a:solidFill>
          <a:srgbClr val="10021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solidFill>
                <a:srgbClr val="BE994E"/>
              </a:solidFill>
              <a:effectLst>
                <a:outerShdw blurRad="50800" dist="38100" dir="2700000" algn="tl" rotWithShape="0">
                  <a:srgbClr val="BE994E">
                    <a:alpha val="40000"/>
                  </a:srgbClr>
                </a:outerShdw>
              </a:effectLst>
              <a:latin typeface="Bahnschrift SemiBold SemiConden" panose="020B0502040204020203" pitchFamily="34" charset="0"/>
            </a:rPr>
            <a:t>TITULAR</a:t>
          </a:r>
          <a:endParaRPr lang="pt-BR" sz="1100">
            <a:solidFill>
              <a:srgbClr val="BE994E"/>
            </a:solidFill>
            <a:effectLst>
              <a:outerShdw blurRad="50800" dist="38100" dir="2700000" algn="tl" rotWithShape="0">
                <a:srgbClr val="BE994E">
                  <a:alpha val="40000"/>
                </a:srgbClr>
              </a:outerShdw>
            </a:effectLst>
            <a:latin typeface="Bahnschrift SemiBold SemiConden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116682</xdr:colOff>
      <xdr:row>15</xdr:row>
      <xdr:rowOff>161925</xdr:rowOff>
    </xdr:from>
    <xdr:to>
      <xdr:col>0</xdr:col>
      <xdr:colOff>2431257</xdr:colOff>
      <xdr:row>20</xdr:row>
      <xdr:rowOff>19050</xdr:rowOff>
    </xdr:to>
    <xdr:sp macro="" textlink="">
      <xdr:nvSpPr>
        <xdr:cNvPr id="7" name="Retângulo: Cantos Diagonai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7971C7-0B24-F84B-31E8-6E5DF5EBC5F1}"/>
            </a:ext>
          </a:extLst>
        </xdr:cNvPr>
        <xdr:cNvSpPr/>
      </xdr:nvSpPr>
      <xdr:spPr>
        <a:xfrm>
          <a:off x="116682" y="3057525"/>
          <a:ext cx="2314575" cy="809625"/>
        </a:xfrm>
        <a:prstGeom prst="round2DiagRect">
          <a:avLst/>
        </a:prstGeom>
        <a:solidFill>
          <a:srgbClr val="BE994E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solidFill>
                <a:srgbClr val="10021C"/>
              </a:solidFill>
              <a:effectLst>
                <a:outerShdw blurRad="50800" dist="38100" dir="2700000" algn="tl" rotWithShape="0">
                  <a:srgbClr val="BE994E">
                    <a:alpha val="40000"/>
                  </a:srgbClr>
                </a:outerShdw>
              </a:effectLst>
              <a:latin typeface="Bahnschrift SemiBold SemiConden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109538</xdr:colOff>
      <xdr:row>21</xdr:row>
      <xdr:rowOff>0</xdr:rowOff>
    </xdr:from>
    <xdr:to>
      <xdr:col>0</xdr:col>
      <xdr:colOff>2405063</xdr:colOff>
      <xdr:row>25</xdr:row>
      <xdr:rowOff>38100</xdr:rowOff>
    </xdr:to>
    <xdr:sp macro="" textlink="">
      <xdr:nvSpPr>
        <xdr:cNvPr id="8" name="Retângulo: Cantos Diagonai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1CA688-0693-D7F3-D088-7BA69DDB8993}"/>
            </a:ext>
          </a:extLst>
        </xdr:cNvPr>
        <xdr:cNvSpPr/>
      </xdr:nvSpPr>
      <xdr:spPr>
        <a:xfrm>
          <a:off x="109538" y="4038600"/>
          <a:ext cx="2295525" cy="800100"/>
        </a:xfrm>
        <a:prstGeom prst="round2DiagRect">
          <a:avLst/>
        </a:prstGeom>
        <a:solidFill>
          <a:srgbClr val="BE994E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solidFill>
                <a:srgbClr val="10021C"/>
              </a:solidFill>
              <a:effectLst>
                <a:outerShdw blurRad="50800" dist="38100" dir="2700000" algn="tl" rotWithShape="0">
                  <a:srgbClr val="BE994E">
                    <a:alpha val="40000"/>
                  </a:srgbClr>
                </a:outerShdw>
              </a:effectLst>
              <a:latin typeface="Bahnschrift SemiBold SemiConden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2</xdr:col>
      <xdr:colOff>2057400</xdr:colOff>
      <xdr:row>19</xdr:row>
      <xdr:rowOff>9525</xdr:rowOff>
    </xdr:from>
    <xdr:to>
      <xdr:col>4</xdr:col>
      <xdr:colOff>0</xdr:colOff>
      <xdr:row>22</xdr:row>
      <xdr:rowOff>9525</xdr:rowOff>
    </xdr:to>
    <xdr:sp macro="" textlink="">
      <xdr:nvSpPr>
        <xdr:cNvPr id="2" name="Retângulo: Cantos Diagonais Arredondados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FF77D4F-3EB5-0731-BC50-DE9769B75AED}"/>
            </a:ext>
          </a:extLst>
        </xdr:cNvPr>
        <xdr:cNvSpPr/>
      </xdr:nvSpPr>
      <xdr:spPr>
        <a:xfrm>
          <a:off x="5153025" y="3667125"/>
          <a:ext cx="2247900" cy="571500"/>
        </a:xfrm>
        <a:prstGeom prst="round2DiagRect">
          <a:avLst/>
        </a:prstGeom>
        <a:solidFill>
          <a:srgbClr val="10021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n>
                <a:solidFill>
                  <a:srgbClr val="BE994E"/>
                </a:solidFill>
              </a:ln>
              <a:solidFill>
                <a:srgbClr val="BE994E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Bahnschrift SemiBold SemiConden" panose="020B0502040204020203" pitchFamily="34" charset="0"/>
            </a:rPr>
            <a:t>PRÓXIMO</a:t>
          </a:r>
          <a:r>
            <a:rPr lang="pt-BR" sz="1600" baseline="0">
              <a:ln>
                <a:solidFill>
                  <a:srgbClr val="BE994E"/>
                </a:solidFill>
              </a:ln>
              <a:solidFill>
                <a:srgbClr val="BE994E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Bahnschrift SemiBold SemiConden" panose="020B0502040204020203" pitchFamily="34" charset="0"/>
            </a:rPr>
            <a:t> -&gt;</a:t>
          </a:r>
          <a:endParaRPr lang="pt-BR" sz="1600">
            <a:ln>
              <a:solidFill>
                <a:srgbClr val="BE994E"/>
              </a:solidFill>
            </a:ln>
            <a:solidFill>
              <a:srgbClr val="BE994E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Bahnschrift SemiBold SemiConden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19050</xdr:rowOff>
    </xdr:from>
    <xdr:to>
      <xdr:col>1</xdr:col>
      <xdr:colOff>0</xdr:colOff>
      <xdr:row>10</xdr:row>
      <xdr:rowOff>66675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7133B2BD-F33C-4137-ACDA-37A4F347B356}"/>
            </a:ext>
          </a:extLst>
        </xdr:cNvPr>
        <xdr:cNvGrpSpPr/>
      </xdr:nvGrpSpPr>
      <xdr:grpSpPr>
        <a:xfrm>
          <a:off x="0" y="209550"/>
          <a:ext cx="2486025" cy="1800225"/>
          <a:chOff x="0" y="209550"/>
          <a:chExt cx="2486025" cy="1800225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AF7441DF-7F27-455E-3E30-649D0A722F8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4286" b="13756"/>
          <a:stretch/>
        </xdr:blipFill>
        <xdr:spPr>
          <a:xfrm>
            <a:off x="272671" y="714375"/>
            <a:ext cx="1940683" cy="1295400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AFE63C49-D686-AE4F-EEF6-81101BCDAE4C}"/>
              </a:ext>
            </a:extLst>
          </xdr:cNvPr>
          <xdr:cNvSpPr/>
        </xdr:nvSpPr>
        <xdr:spPr>
          <a:xfrm>
            <a:off x="0" y="209550"/>
            <a:ext cx="2486025" cy="533399"/>
          </a:xfrm>
          <a:prstGeom prst="rect">
            <a:avLst/>
          </a:prstGeom>
          <a:noFill/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3600">
                <a:solidFill>
                  <a:schemeClr val="tx1"/>
                </a:solidFill>
                <a:latin typeface="Bahnschrift Condensed" panose="020B0502040204020203" pitchFamily="34" charset="0"/>
              </a:rPr>
              <a:t>JAGUAR TAX</a:t>
            </a:r>
          </a:p>
        </xdr:txBody>
      </xdr:sp>
    </xdr:grpSp>
    <xdr:clientData/>
  </xdr:twoCellAnchor>
  <xdr:twoCellAnchor editAs="absolute">
    <xdr:from>
      <xdr:col>0</xdr:col>
      <xdr:colOff>76200</xdr:colOff>
      <xdr:row>10</xdr:row>
      <xdr:rowOff>161925</xdr:rowOff>
    </xdr:from>
    <xdr:to>
      <xdr:col>0</xdr:col>
      <xdr:colOff>2438400</xdr:colOff>
      <xdr:row>14</xdr:row>
      <xdr:rowOff>180975</xdr:rowOff>
    </xdr:to>
    <xdr:sp macro="" textlink="">
      <xdr:nvSpPr>
        <xdr:cNvPr id="5" name="Retângulo: Cantos Diagonai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4E8A545-1C88-4894-BD98-E32E4919C0BC}"/>
            </a:ext>
          </a:extLst>
        </xdr:cNvPr>
        <xdr:cNvSpPr/>
      </xdr:nvSpPr>
      <xdr:spPr>
        <a:xfrm>
          <a:off x="76200" y="2105025"/>
          <a:ext cx="2362200" cy="781050"/>
        </a:xfrm>
        <a:prstGeom prst="round2DiagRect">
          <a:avLst/>
        </a:prstGeom>
        <a:solidFill>
          <a:srgbClr val="BE994E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solidFill>
                <a:srgbClr val="10021C"/>
              </a:solidFill>
              <a:effectLst>
                <a:outerShdw blurRad="50800" dist="38100" dir="2700000" algn="tl" rotWithShape="0">
                  <a:srgbClr val="BE994E">
                    <a:alpha val="40000"/>
                  </a:srgbClr>
                </a:outerShdw>
              </a:effectLst>
              <a:latin typeface="Bahnschrift SemiBold SemiConden" panose="020B0502040204020203" pitchFamily="34" charset="0"/>
            </a:rPr>
            <a:t>TITULAR</a:t>
          </a:r>
          <a:endParaRPr lang="pt-BR" sz="1100">
            <a:solidFill>
              <a:srgbClr val="10021C"/>
            </a:solidFill>
            <a:effectLst>
              <a:outerShdw blurRad="50800" dist="38100" dir="2700000" algn="tl" rotWithShape="0">
                <a:srgbClr val="BE994E">
                  <a:alpha val="40000"/>
                </a:srgbClr>
              </a:outerShdw>
            </a:effectLst>
            <a:latin typeface="Bahnschrift SemiBold SemiConden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116682</xdr:colOff>
      <xdr:row>15</xdr:row>
      <xdr:rowOff>161925</xdr:rowOff>
    </xdr:from>
    <xdr:to>
      <xdr:col>0</xdr:col>
      <xdr:colOff>2431257</xdr:colOff>
      <xdr:row>20</xdr:row>
      <xdr:rowOff>19050</xdr:rowOff>
    </xdr:to>
    <xdr:sp macro="" textlink="">
      <xdr:nvSpPr>
        <xdr:cNvPr id="6" name="Retângulo: Cantos Diagonais Arredondados 5">
          <a:extLst>
            <a:ext uri="{FF2B5EF4-FFF2-40B4-BE49-F238E27FC236}">
              <a16:creationId xmlns:a16="http://schemas.microsoft.com/office/drawing/2014/main" id="{9A495E29-701C-48C1-BDCF-EF5843227193}"/>
            </a:ext>
          </a:extLst>
        </xdr:cNvPr>
        <xdr:cNvSpPr/>
      </xdr:nvSpPr>
      <xdr:spPr>
        <a:xfrm>
          <a:off x="116682" y="3057525"/>
          <a:ext cx="2314575" cy="809625"/>
        </a:xfrm>
        <a:prstGeom prst="round2DiagRect">
          <a:avLst/>
        </a:prstGeom>
        <a:solidFill>
          <a:srgbClr val="10021C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solidFill>
                <a:srgbClr val="BE994E"/>
              </a:solidFill>
              <a:effectLst>
                <a:outerShdw blurRad="50800" dist="38100" dir="2700000" algn="tl" rotWithShape="0">
                  <a:srgbClr val="BE994E">
                    <a:alpha val="40000"/>
                  </a:srgbClr>
                </a:outerShdw>
              </a:effectLst>
              <a:latin typeface="Bahnschrift SemiBold SemiConden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109538</xdr:colOff>
      <xdr:row>21</xdr:row>
      <xdr:rowOff>0</xdr:rowOff>
    </xdr:from>
    <xdr:to>
      <xdr:col>0</xdr:col>
      <xdr:colOff>2405063</xdr:colOff>
      <xdr:row>25</xdr:row>
      <xdr:rowOff>38100</xdr:rowOff>
    </xdr:to>
    <xdr:sp macro="" textlink="">
      <xdr:nvSpPr>
        <xdr:cNvPr id="7" name="Retângulo: Cantos Diagonai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C0666C-5B9B-4C7E-A8DD-6729A1D55BAC}"/>
            </a:ext>
          </a:extLst>
        </xdr:cNvPr>
        <xdr:cNvSpPr/>
      </xdr:nvSpPr>
      <xdr:spPr>
        <a:xfrm>
          <a:off x="109538" y="4038600"/>
          <a:ext cx="2295525" cy="800100"/>
        </a:xfrm>
        <a:prstGeom prst="round2DiagRect">
          <a:avLst/>
        </a:prstGeom>
        <a:solidFill>
          <a:srgbClr val="BE994E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solidFill>
                <a:srgbClr val="10021C"/>
              </a:solidFill>
              <a:effectLst>
                <a:outerShdw blurRad="50800" dist="38100" dir="2700000" algn="tl" rotWithShape="0">
                  <a:srgbClr val="BE994E">
                    <a:alpha val="40000"/>
                  </a:srgbClr>
                </a:outerShdw>
              </a:effectLst>
              <a:latin typeface="Bahnschrift SemiBold SemiConden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3</xdr:col>
      <xdr:colOff>0</xdr:colOff>
      <xdr:row>22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3" name="Retângulo: Cantos Diagonai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8C8B3F-5453-4490-9631-5EF784B16D5C}"/>
            </a:ext>
          </a:extLst>
        </xdr:cNvPr>
        <xdr:cNvSpPr/>
      </xdr:nvSpPr>
      <xdr:spPr>
        <a:xfrm>
          <a:off x="5248275" y="4229100"/>
          <a:ext cx="2152650" cy="571500"/>
        </a:xfrm>
        <a:prstGeom prst="round2DiagRect">
          <a:avLst/>
        </a:prstGeom>
        <a:solidFill>
          <a:srgbClr val="10021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n>
                <a:solidFill>
                  <a:srgbClr val="BE994E"/>
                </a:solidFill>
              </a:ln>
              <a:solidFill>
                <a:srgbClr val="BE994E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Bahnschrift SemiBold SemiConden" panose="020B0502040204020203" pitchFamily="34" charset="0"/>
            </a:rPr>
            <a:t>PRÓXIMO</a:t>
          </a:r>
          <a:r>
            <a:rPr lang="pt-BR" sz="1600" baseline="0">
              <a:ln>
                <a:solidFill>
                  <a:srgbClr val="BE994E"/>
                </a:solidFill>
              </a:ln>
              <a:solidFill>
                <a:srgbClr val="BE994E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Bahnschrift SemiBold SemiConden" panose="020B0502040204020203" pitchFamily="34" charset="0"/>
            </a:rPr>
            <a:t> -&gt;</a:t>
          </a:r>
          <a:endParaRPr lang="pt-BR" sz="1600">
            <a:ln>
              <a:solidFill>
                <a:srgbClr val="BE994E"/>
              </a:solidFill>
            </a:ln>
            <a:solidFill>
              <a:srgbClr val="BE994E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latin typeface="Bahnschrift SemiBold SemiConden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22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14" name="Retângulo: Cantos Diagonais Arredondados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2910B1-3ADF-4F45-9671-7522153DD0E9}"/>
            </a:ext>
          </a:extLst>
        </xdr:cNvPr>
        <xdr:cNvSpPr/>
      </xdr:nvSpPr>
      <xdr:spPr>
        <a:xfrm>
          <a:off x="3095625" y="4229100"/>
          <a:ext cx="2152650" cy="571500"/>
        </a:xfrm>
        <a:prstGeom prst="round2DiagRect">
          <a:avLst>
            <a:gd name="adj1" fmla="val 0"/>
            <a:gd name="adj2" fmla="val 16667"/>
          </a:avLst>
        </a:prstGeom>
        <a:solidFill>
          <a:srgbClr val="10021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ln>
                <a:solidFill>
                  <a:srgbClr val="BE994E"/>
                </a:solidFill>
              </a:ln>
              <a:solidFill>
                <a:srgbClr val="BE994E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latin typeface="Bahnschrift SemiBold SemiConden" panose="020B0502040204020203" pitchFamily="34" charset="0"/>
            </a:rPr>
            <a:t>&lt;-ANTERIOR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19050</xdr:rowOff>
    </xdr:from>
    <xdr:to>
      <xdr:col>1</xdr:col>
      <xdr:colOff>0</xdr:colOff>
      <xdr:row>10</xdr:row>
      <xdr:rowOff>28575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8349F01-3AAD-4186-9E0E-57AE63CDB56A}"/>
            </a:ext>
          </a:extLst>
        </xdr:cNvPr>
        <xdr:cNvGrpSpPr/>
      </xdr:nvGrpSpPr>
      <xdr:grpSpPr>
        <a:xfrm>
          <a:off x="0" y="209550"/>
          <a:ext cx="2486025" cy="1800225"/>
          <a:chOff x="0" y="209550"/>
          <a:chExt cx="2486025" cy="1800225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508FEAE8-00A8-ECE5-83E2-9E8B26DA4C1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4286" b="13756"/>
          <a:stretch/>
        </xdr:blipFill>
        <xdr:spPr>
          <a:xfrm>
            <a:off x="272671" y="714375"/>
            <a:ext cx="1940683" cy="1295400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F0DCD3DE-518C-B282-2212-39D44A26A759}"/>
              </a:ext>
            </a:extLst>
          </xdr:cNvPr>
          <xdr:cNvSpPr/>
        </xdr:nvSpPr>
        <xdr:spPr>
          <a:xfrm>
            <a:off x="0" y="209550"/>
            <a:ext cx="2486025" cy="533399"/>
          </a:xfrm>
          <a:prstGeom prst="rect">
            <a:avLst/>
          </a:prstGeom>
          <a:noFill/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3600">
                <a:solidFill>
                  <a:schemeClr val="tx1"/>
                </a:solidFill>
                <a:latin typeface="Bahnschrift Condensed" panose="020B0502040204020203" pitchFamily="34" charset="0"/>
              </a:rPr>
              <a:t>JAGUAR TAX</a:t>
            </a:r>
          </a:p>
        </xdr:txBody>
      </xdr:sp>
    </xdr:grpSp>
    <xdr:clientData/>
  </xdr:twoCellAnchor>
  <xdr:twoCellAnchor editAs="absolute">
    <xdr:from>
      <xdr:col>0</xdr:col>
      <xdr:colOff>76200</xdr:colOff>
      <xdr:row>10</xdr:row>
      <xdr:rowOff>123825</xdr:rowOff>
    </xdr:from>
    <xdr:to>
      <xdr:col>0</xdr:col>
      <xdr:colOff>2438400</xdr:colOff>
      <xdr:row>14</xdr:row>
      <xdr:rowOff>142875</xdr:rowOff>
    </xdr:to>
    <xdr:sp macro="" textlink="">
      <xdr:nvSpPr>
        <xdr:cNvPr id="5" name="Retângulo: Cantos Diagonai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39DC8C-85C0-4564-8289-D9151FFCADEC}"/>
            </a:ext>
          </a:extLst>
        </xdr:cNvPr>
        <xdr:cNvSpPr/>
      </xdr:nvSpPr>
      <xdr:spPr>
        <a:xfrm>
          <a:off x="76200" y="2105025"/>
          <a:ext cx="2362200" cy="781050"/>
        </a:xfrm>
        <a:prstGeom prst="round2DiagRect">
          <a:avLst/>
        </a:prstGeom>
        <a:solidFill>
          <a:srgbClr val="BE994E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solidFill>
                <a:srgbClr val="10021C"/>
              </a:solidFill>
              <a:effectLst>
                <a:outerShdw blurRad="50800" dist="38100" dir="2700000" algn="tl" rotWithShape="0">
                  <a:srgbClr val="BE994E">
                    <a:alpha val="40000"/>
                  </a:srgbClr>
                </a:outerShdw>
              </a:effectLst>
              <a:latin typeface="Bahnschrift SemiBold SemiConden" panose="020B0502040204020203" pitchFamily="34" charset="0"/>
            </a:rPr>
            <a:t>TITULAR</a:t>
          </a:r>
          <a:endParaRPr lang="pt-BR" sz="1100">
            <a:solidFill>
              <a:srgbClr val="10021C"/>
            </a:solidFill>
            <a:effectLst>
              <a:outerShdw blurRad="50800" dist="38100" dir="2700000" algn="tl" rotWithShape="0">
                <a:srgbClr val="BE994E">
                  <a:alpha val="40000"/>
                </a:srgbClr>
              </a:outerShdw>
            </a:effectLst>
            <a:latin typeface="Bahnschrift SemiBold SemiConden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116682</xdr:colOff>
      <xdr:row>15</xdr:row>
      <xdr:rowOff>123825</xdr:rowOff>
    </xdr:from>
    <xdr:to>
      <xdr:col>0</xdr:col>
      <xdr:colOff>2431257</xdr:colOff>
      <xdr:row>19</xdr:row>
      <xdr:rowOff>171450</xdr:rowOff>
    </xdr:to>
    <xdr:sp macro="" textlink="">
      <xdr:nvSpPr>
        <xdr:cNvPr id="6" name="Retângulo: Cantos Diagonai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5E15F4D-8089-4473-814C-ECFA29FE54DF}"/>
            </a:ext>
          </a:extLst>
        </xdr:cNvPr>
        <xdr:cNvSpPr/>
      </xdr:nvSpPr>
      <xdr:spPr>
        <a:xfrm>
          <a:off x="116682" y="3057525"/>
          <a:ext cx="2314575" cy="809625"/>
        </a:xfrm>
        <a:prstGeom prst="round2DiagRect">
          <a:avLst/>
        </a:prstGeom>
        <a:solidFill>
          <a:srgbClr val="BE994E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solidFill>
                <a:srgbClr val="10021C"/>
              </a:solidFill>
              <a:effectLst>
                <a:outerShdw blurRad="50800" dist="38100" dir="2700000" algn="tl" rotWithShape="0">
                  <a:srgbClr val="BE994E">
                    <a:alpha val="40000"/>
                  </a:srgbClr>
                </a:outerShdw>
              </a:effectLst>
              <a:latin typeface="Bahnschrift SemiBold SemiConden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109538</xdr:colOff>
      <xdr:row>20</xdr:row>
      <xdr:rowOff>152400</xdr:rowOff>
    </xdr:from>
    <xdr:to>
      <xdr:col>0</xdr:col>
      <xdr:colOff>2405063</xdr:colOff>
      <xdr:row>25</xdr:row>
      <xdr:rowOff>0</xdr:rowOff>
    </xdr:to>
    <xdr:sp macro="" textlink="">
      <xdr:nvSpPr>
        <xdr:cNvPr id="7" name="Retângulo: Cantos Diagonai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B74B352-7C59-4C57-AC3E-ACDDE300175B}"/>
            </a:ext>
          </a:extLst>
        </xdr:cNvPr>
        <xdr:cNvSpPr/>
      </xdr:nvSpPr>
      <xdr:spPr>
        <a:xfrm>
          <a:off x="109538" y="4038600"/>
          <a:ext cx="2295525" cy="800100"/>
        </a:xfrm>
        <a:prstGeom prst="round2DiagRect">
          <a:avLst/>
        </a:prstGeom>
        <a:solidFill>
          <a:srgbClr val="10021C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>
              <a:solidFill>
                <a:srgbClr val="BE994E"/>
              </a:solidFill>
              <a:effectLst>
                <a:outerShdw blurRad="50800" dist="38100" dir="2700000" algn="tl" rotWithShape="0">
                  <a:srgbClr val="BE994E">
                    <a:alpha val="40000"/>
                  </a:srgbClr>
                </a:outerShdw>
              </a:effectLst>
              <a:latin typeface="Bahnschrift SemiBold SemiConden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1</xdr:col>
      <xdr:colOff>600075</xdr:colOff>
      <xdr:row>3</xdr:row>
      <xdr:rowOff>19050</xdr:rowOff>
    </xdr:from>
    <xdr:to>
      <xdr:col>2</xdr:col>
      <xdr:colOff>1314450</xdr:colOff>
      <xdr:row>4</xdr:row>
      <xdr:rowOff>171450</xdr:rowOff>
    </xdr:to>
    <xdr:sp macro="" textlink="">
      <xdr:nvSpPr>
        <xdr:cNvPr id="10" name="Retângulo: Cantos Diagonais Arredondados 9">
          <a:extLst>
            <a:ext uri="{FF2B5EF4-FFF2-40B4-BE49-F238E27FC236}">
              <a16:creationId xmlns:a16="http://schemas.microsoft.com/office/drawing/2014/main" id="{32255A13-D7F0-4A25-8A1F-18EF88790319}"/>
            </a:ext>
          </a:extLst>
        </xdr:cNvPr>
        <xdr:cNvSpPr/>
      </xdr:nvSpPr>
      <xdr:spPr>
        <a:xfrm>
          <a:off x="3086100" y="628650"/>
          <a:ext cx="1323975" cy="342900"/>
        </a:xfrm>
        <a:prstGeom prst="round2DiagRect">
          <a:avLst>
            <a:gd name="adj1" fmla="val 0"/>
            <a:gd name="adj2" fmla="val 16667"/>
          </a:avLst>
        </a:prstGeom>
        <a:solidFill>
          <a:srgbClr val="10021C"/>
        </a:solidFill>
        <a:ln w="19050" cap="flat" cmpd="sng" algn="ctr">
          <a:noFill/>
          <a:prstDash val="solid"/>
          <a:miter lim="800000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600" b="0" i="0" u="none" strike="noStrike" kern="0" cap="none" spc="0" normalizeH="0" baseline="0" noProof="0">
              <a:ln>
                <a:solidFill>
                  <a:srgbClr val="BE994E"/>
                </a:solidFill>
              </a:ln>
              <a:solidFill>
                <a:srgbClr val="BE994E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uLnTx/>
              <a:uFillTx/>
              <a:latin typeface="Bahnschrift SemiBold SemiConden" panose="020B0502040204020203" pitchFamily="34" charset="0"/>
              <a:ea typeface="+mn-ea"/>
              <a:cs typeface="+mn-cs"/>
            </a:rPr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7FFD80-FD92-4915-B248-69B33DC87C49}" name="Tabela3" displayName="Tabela3" ref="C7:E27" totalsRowShown="0" headerRowDxfId="4" dataDxfId="0" headerRowBorderDxfId="6" tableBorderDxfId="7" totalsRowBorderDxfId="5">
  <autoFilter ref="C7:E27" xr:uid="{437FFD80-FD92-4915-B248-69B33DC87C49}"/>
  <tableColumns count="3">
    <tableColumn id="1" xr3:uid="{51479695-9D55-46BA-92B4-A3BF91EB4C64}" name="DATA" dataDxfId="3"/>
    <tableColumn id="2" xr3:uid="{4018ADD9-3C54-4465-826B-9F3576ACF6B6}" name="CATEGORIA" dataDxfId="2"/>
    <tableColumn id="3" xr3:uid="{B114331F-2238-4567-AC76-52168F7D0849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OAQ.FERRER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F17D-05B5-4AB4-96D9-965F4AB8D57F}">
  <dimension ref="A2:F18"/>
  <sheetViews>
    <sheetView showGridLines="0" showRowColHeaders="0" workbookViewId="0">
      <selection activeCell="D17" sqref="D17"/>
    </sheetView>
  </sheetViews>
  <sheetFormatPr defaultRowHeight="15" x14ac:dyDescent="0.25"/>
  <cols>
    <col min="1" max="1" width="37.28515625" style="1" customWidth="1"/>
    <col min="3" max="4" width="32.28515625" customWidth="1"/>
  </cols>
  <sheetData>
    <row r="2" spans="3:6" ht="17.25" thickBot="1" x14ac:dyDescent="0.3">
      <c r="C2" s="7" t="s">
        <v>64</v>
      </c>
      <c r="D2" s="7"/>
      <c r="E2" s="7"/>
    </row>
    <row r="3" spans="3:6" ht="15.75" thickTop="1" x14ac:dyDescent="0.25">
      <c r="C3" s="6"/>
      <c r="D3" s="6"/>
      <c r="E3" s="6"/>
    </row>
    <row r="5" spans="3:6" x14ac:dyDescent="0.25">
      <c r="C5" s="3" t="s">
        <v>51</v>
      </c>
      <c r="D5" s="19" t="s">
        <v>67</v>
      </c>
    </row>
    <row r="6" spans="3:6" x14ac:dyDescent="0.25">
      <c r="C6" s="4" t="s">
        <v>52</v>
      </c>
      <c r="D6" s="20">
        <v>45690812127</v>
      </c>
    </row>
    <row r="7" spans="3:6" x14ac:dyDescent="0.25">
      <c r="C7" s="4" t="s">
        <v>53</v>
      </c>
      <c r="D7" s="21" t="s">
        <v>73</v>
      </c>
    </row>
    <row r="8" spans="3:6" x14ac:dyDescent="0.25">
      <c r="C8" s="4" t="s">
        <v>69</v>
      </c>
      <c r="D8" s="22">
        <v>31713388</v>
      </c>
    </row>
    <row r="9" spans="3:6" x14ac:dyDescent="0.25">
      <c r="C9" s="4" t="s">
        <v>54</v>
      </c>
      <c r="D9" s="22" t="s">
        <v>70</v>
      </c>
    </row>
    <row r="10" spans="3:6" x14ac:dyDescent="0.25">
      <c r="C10" s="4" t="s">
        <v>55</v>
      </c>
      <c r="D10" s="22" t="s">
        <v>68</v>
      </c>
    </row>
    <row r="11" spans="3:6" x14ac:dyDescent="0.25">
      <c r="C11" s="4" t="s">
        <v>56</v>
      </c>
      <c r="D11" s="22" t="s">
        <v>72</v>
      </c>
    </row>
    <row r="12" spans="3:6" x14ac:dyDescent="0.25">
      <c r="C12" s="4" t="s">
        <v>57</v>
      </c>
      <c r="D12" s="23">
        <v>7490067</v>
      </c>
    </row>
    <row r="13" spans="3:6" x14ac:dyDescent="0.25">
      <c r="C13" s="4" t="s">
        <v>58</v>
      </c>
      <c r="D13" s="24">
        <v>1195739455</v>
      </c>
    </row>
    <row r="14" spans="3:6" x14ac:dyDescent="0.25">
      <c r="C14" s="4" t="s">
        <v>59</v>
      </c>
      <c r="D14" s="24">
        <v>1195739455</v>
      </c>
    </row>
    <row r="15" spans="3:6" x14ac:dyDescent="0.25">
      <c r="C15" s="4" t="s">
        <v>60</v>
      </c>
      <c r="D15" s="25" t="s">
        <v>71</v>
      </c>
      <c r="F15" t="s">
        <v>50</v>
      </c>
    </row>
    <row r="16" spans="3:6" x14ac:dyDescent="0.25">
      <c r="C16" s="4" t="s">
        <v>61</v>
      </c>
      <c r="D16" s="22" t="s">
        <v>66</v>
      </c>
    </row>
    <row r="17" spans="3:4" x14ac:dyDescent="0.25">
      <c r="C17" s="4" t="s">
        <v>62</v>
      </c>
      <c r="D17" s="22" t="s">
        <v>65</v>
      </c>
    </row>
    <row r="18" spans="3:4" x14ac:dyDescent="0.25">
      <c r="C18" s="5" t="s">
        <v>63</v>
      </c>
      <c r="D18" s="26" t="s">
        <v>66</v>
      </c>
    </row>
  </sheetData>
  <sheetProtection sheet="1" objects="1" scenarios="1" selectLockedCells="1"/>
  <dataValidations count="1">
    <dataValidation type="list" allowBlank="1" showInputMessage="1" showErrorMessage="1" errorTitle="ERROR." error="SELECIONE APENAS COM AS OPCÕES DADAS." promptTitle="SELECIONE A SUA SITUACÃO ATUAL." sqref="D16:D18" xr:uid="{09A2A013-B1B6-49F1-A843-ABA5A7974166}">
      <formula1>"SIM,NÃO"</formula1>
    </dataValidation>
  </dataValidations>
  <hyperlinks>
    <hyperlink ref="D15" r:id="rId1" xr:uid="{66D976B0-6D2B-49E1-8CF3-95CC9731E7E9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DBA7-27CE-4B58-A4CE-325B886BF33F}">
  <dimension ref="A1:E21"/>
  <sheetViews>
    <sheetView showGridLines="0" showRowColHeaders="0" tabSelected="1" workbookViewId="0">
      <selection activeCell="D9" sqref="D9"/>
    </sheetView>
  </sheetViews>
  <sheetFormatPr defaultRowHeight="15" x14ac:dyDescent="0.25"/>
  <cols>
    <col min="1" max="1" width="37.28515625" style="1" customWidth="1"/>
    <col min="3" max="4" width="32.28515625" customWidth="1"/>
  </cols>
  <sheetData>
    <row r="1" spans="2:5" x14ac:dyDescent="0.25">
      <c r="B1" s="10"/>
      <c r="C1" s="10"/>
      <c r="D1" s="10"/>
    </row>
    <row r="2" spans="2:5" ht="17.25" thickBot="1" x14ac:dyDescent="0.3">
      <c r="B2" s="10"/>
      <c r="C2" s="11" t="s">
        <v>74</v>
      </c>
      <c r="D2" s="11"/>
      <c r="E2" s="7"/>
    </row>
    <row r="3" spans="2:5" ht="15.75" thickTop="1" x14ac:dyDescent="0.25">
      <c r="C3" s="6"/>
      <c r="D3" s="6"/>
      <c r="E3" s="6"/>
    </row>
    <row r="5" spans="2:5" x14ac:dyDescent="0.25">
      <c r="C5" s="12" t="s">
        <v>83</v>
      </c>
    </row>
    <row r="6" spans="2:5" x14ac:dyDescent="0.25">
      <c r="C6" s="8">
        <f>SUM(D10,D15,D20)</f>
        <v>4578162</v>
      </c>
      <c r="D6" s="9"/>
    </row>
    <row r="7" spans="2:5" x14ac:dyDescent="0.25">
      <c r="D7" s="2"/>
    </row>
    <row r="8" spans="2:5" x14ac:dyDescent="0.25">
      <c r="C8" t="s">
        <v>79</v>
      </c>
      <c r="D8" s="2"/>
    </row>
    <row r="9" spans="2:5" x14ac:dyDescent="0.25">
      <c r="C9" s="3" t="s">
        <v>75</v>
      </c>
      <c r="D9" s="27" t="s">
        <v>0</v>
      </c>
    </row>
    <row r="10" spans="2:5" x14ac:dyDescent="0.25">
      <c r="C10" s="4" t="s">
        <v>76</v>
      </c>
      <c r="D10" s="28">
        <v>4569081</v>
      </c>
    </row>
    <row r="11" spans="2:5" x14ac:dyDescent="0.25">
      <c r="C11" s="4" t="s">
        <v>78</v>
      </c>
      <c r="D11" s="29" t="s">
        <v>77</v>
      </c>
    </row>
    <row r="12" spans="2:5" x14ac:dyDescent="0.25">
      <c r="D12" s="2"/>
    </row>
    <row r="13" spans="2:5" x14ac:dyDescent="0.25">
      <c r="C13" t="s">
        <v>81</v>
      </c>
      <c r="D13" s="2"/>
    </row>
    <row r="14" spans="2:5" x14ac:dyDescent="0.25">
      <c r="C14" s="3" t="s">
        <v>75</v>
      </c>
      <c r="D14" s="27" t="s">
        <v>38</v>
      </c>
    </row>
    <row r="15" spans="2:5" x14ac:dyDescent="0.25">
      <c r="C15" s="4" t="s">
        <v>76</v>
      </c>
      <c r="D15" s="28">
        <v>9081</v>
      </c>
    </row>
    <row r="16" spans="2:5" x14ac:dyDescent="0.25">
      <c r="C16" s="4" t="s">
        <v>78</v>
      </c>
      <c r="D16" s="29" t="s">
        <v>82</v>
      </c>
    </row>
    <row r="17" spans="3:4" x14ac:dyDescent="0.25">
      <c r="D17" s="2"/>
    </row>
    <row r="18" spans="3:4" x14ac:dyDescent="0.25">
      <c r="C18" t="s">
        <v>80</v>
      </c>
      <c r="D18" s="2"/>
    </row>
    <row r="19" spans="3:4" x14ac:dyDescent="0.25">
      <c r="C19" s="3" t="s">
        <v>75</v>
      </c>
      <c r="D19" s="27" t="s">
        <v>13</v>
      </c>
    </row>
    <row r="20" spans="3:4" x14ac:dyDescent="0.25">
      <c r="C20" s="4" t="s">
        <v>76</v>
      </c>
      <c r="D20" s="28"/>
    </row>
    <row r="21" spans="3:4" x14ac:dyDescent="0.25">
      <c r="C21" s="4" t="s">
        <v>78</v>
      </c>
      <c r="D21" s="29"/>
    </row>
  </sheetData>
  <sheetProtection sheet="1" objects="1" scenarios="1" selectLockedCells="1"/>
  <mergeCells count="1">
    <mergeCell ref="C6:D6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AF94DD-C186-4D35-9ED8-B5A1E2BC5B30}">
          <x14:formula1>
            <xm:f>#REF!</xm:f>
          </x14:formula1>
          <xm:sqref>D19 D14</xm:sqref>
        </x14:dataValidation>
        <x14:dataValidation type="list" allowBlank="1" showInputMessage="1" showErrorMessage="1" xr:uid="{3990D9DC-64CB-470E-8D65-84075901CD8A}">
          <x14:formula1>
            <xm:f>Planilha1!$A$1:$A$50</xm:f>
          </x14:formula1>
          <xm:sqref>D9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2127-D2B0-4A96-89CA-B7F2C10AD67D}">
  <dimension ref="A2:F27"/>
  <sheetViews>
    <sheetView showGridLines="0" showRowColHeaders="0" zoomScaleNormal="100" workbookViewId="0">
      <selection activeCell="D21" sqref="D21"/>
    </sheetView>
  </sheetViews>
  <sheetFormatPr defaultRowHeight="15" x14ac:dyDescent="0.25"/>
  <cols>
    <col min="1" max="1" width="37.28515625" style="1" customWidth="1"/>
    <col min="3" max="4" width="32.28515625" customWidth="1"/>
    <col min="5" max="5" width="12.7109375" bestFit="1" customWidth="1"/>
  </cols>
  <sheetData>
    <row r="2" spans="3:6" ht="17.25" thickBot="1" x14ac:dyDescent="0.3">
      <c r="C2" s="11" t="s">
        <v>84</v>
      </c>
      <c r="D2" s="11"/>
      <c r="E2" s="7"/>
    </row>
    <row r="3" spans="3:6" ht="15.75" thickTop="1" x14ac:dyDescent="0.25">
      <c r="C3" s="6"/>
      <c r="D3" s="6"/>
      <c r="E3" s="6"/>
    </row>
    <row r="6" spans="3:6" ht="18" x14ac:dyDescent="0.25">
      <c r="C6" s="13" t="s">
        <v>88</v>
      </c>
      <c r="D6" s="14"/>
      <c r="E6" s="15"/>
    </row>
    <row r="7" spans="3:6" x14ac:dyDescent="0.25">
      <c r="C7" s="16" t="s">
        <v>85</v>
      </c>
      <c r="D7" s="17" t="s">
        <v>86</v>
      </c>
      <c r="E7" s="18" t="s">
        <v>87</v>
      </c>
    </row>
    <row r="8" spans="3:6" x14ac:dyDescent="0.25">
      <c r="C8" s="30">
        <v>46301</v>
      </c>
      <c r="D8" s="31" t="s">
        <v>89</v>
      </c>
      <c r="E8" s="32">
        <v>4000</v>
      </c>
    </row>
    <row r="9" spans="3:6" x14ac:dyDescent="0.25">
      <c r="C9" s="33"/>
      <c r="D9" s="34"/>
      <c r="E9" s="35"/>
    </row>
    <row r="10" spans="3:6" x14ac:dyDescent="0.25">
      <c r="C10" s="33"/>
      <c r="D10" s="34"/>
      <c r="E10" s="35"/>
    </row>
    <row r="11" spans="3:6" x14ac:dyDescent="0.25">
      <c r="C11" s="33"/>
      <c r="D11" s="34"/>
      <c r="E11" s="35"/>
    </row>
    <row r="12" spans="3:6" x14ac:dyDescent="0.25">
      <c r="C12" s="33"/>
      <c r="D12" s="34"/>
      <c r="E12" s="35"/>
    </row>
    <row r="13" spans="3:6" x14ac:dyDescent="0.25">
      <c r="C13" s="33"/>
      <c r="D13" s="34"/>
      <c r="E13" s="35"/>
    </row>
    <row r="14" spans="3:6" x14ac:dyDescent="0.25">
      <c r="C14" s="33"/>
      <c r="D14" s="34"/>
      <c r="E14" s="35"/>
      <c r="F14" t="s">
        <v>50</v>
      </c>
    </row>
    <row r="15" spans="3:6" x14ac:dyDescent="0.25">
      <c r="C15" s="33"/>
      <c r="D15" s="34"/>
      <c r="E15" s="35"/>
    </row>
    <row r="16" spans="3:6" x14ac:dyDescent="0.25">
      <c r="C16" s="33"/>
      <c r="D16" s="34"/>
      <c r="E16" s="35"/>
    </row>
    <row r="17" spans="3:5" x14ac:dyDescent="0.25">
      <c r="C17" s="33"/>
      <c r="D17" s="34"/>
      <c r="E17" s="35"/>
    </row>
    <row r="18" spans="3:5" x14ac:dyDescent="0.25">
      <c r="C18" s="33"/>
      <c r="D18" s="34"/>
      <c r="E18" s="35"/>
    </row>
    <row r="19" spans="3:5" x14ac:dyDescent="0.25">
      <c r="C19" s="33"/>
      <c r="D19" s="34"/>
      <c r="E19" s="35"/>
    </row>
    <row r="20" spans="3:5" x14ac:dyDescent="0.25">
      <c r="C20" s="33"/>
      <c r="D20" s="34"/>
      <c r="E20" s="35"/>
    </row>
    <row r="21" spans="3:5" x14ac:dyDescent="0.25">
      <c r="C21" s="33"/>
      <c r="D21" s="34"/>
      <c r="E21" s="35"/>
    </row>
    <row r="22" spans="3:5" x14ac:dyDescent="0.25">
      <c r="C22" s="33"/>
      <c r="D22" s="34"/>
      <c r="E22" s="35"/>
    </row>
    <row r="23" spans="3:5" x14ac:dyDescent="0.25">
      <c r="C23" s="33"/>
      <c r="D23" s="34"/>
      <c r="E23" s="35"/>
    </row>
    <row r="24" spans="3:5" x14ac:dyDescent="0.25">
      <c r="C24" s="33"/>
      <c r="D24" s="34"/>
      <c r="E24" s="35"/>
    </row>
    <row r="25" spans="3:5" x14ac:dyDescent="0.25">
      <c r="C25" s="33"/>
      <c r="D25" s="34"/>
      <c r="E25" s="35"/>
    </row>
    <row r="26" spans="3:5" x14ac:dyDescent="0.25">
      <c r="C26" s="33"/>
      <c r="D26" s="34"/>
      <c r="E26" s="35"/>
    </row>
    <row r="27" spans="3:5" x14ac:dyDescent="0.25">
      <c r="C27" s="36"/>
      <c r="D27" s="31"/>
      <c r="E27" s="32"/>
    </row>
  </sheetData>
  <sheetProtection sheet="1" objects="1" scenarios="1" selectLockedCells="1"/>
  <mergeCells count="1">
    <mergeCell ref="C6:E6"/>
  </mergeCells>
  <dataValidations count="1">
    <dataValidation type="list" allowBlank="1" showInputMessage="1" showErrorMessage="1" sqref="D8:D27" xr:uid="{FF275D1A-3D11-4F84-853B-DC84E4D712C5}">
      <formula1>"HOLERITE,CNPJ,FREELANCER"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C874-541F-40FA-82AF-30C713D7B0AC}">
  <dimension ref="A1:A50"/>
  <sheetViews>
    <sheetView topLeftCell="A5" workbookViewId="0">
      <selection activeCell="F21" sqref="F21"/>
    </sheetView>
  </sheetViews>
  <sheetFormatPr defaultRowHeight="15" x14ac:dyDescent="0.25"/>
  <sheetData>
    <row r="1" spans="1:1" x14ac:dyDescent="0.25">
      <c r="A1" s="37" t="s">
        <v>13</v>
      </c>
    </row>
    <row r="2" spans="1:1" x14ac:dyDescent="0.25">
      <c r="A2" s="37" t="s">
        <v>48</v>
      </c>
    </row>
    <row r="3" spans="1:1" x14ac:dyDescent="0.25">
      <c r="A3" s="37" t="s">
        <v>0</v>
      </c>
    </row>
    <row r="4" spans="1:1" x14ac:dyDescent="0.25">
      <c r="A4" s="37" t="s">
        <v>38</v>
      </c>
    </row>
    <row r="5" spans="1:1" x14ac:dyDescent="0.25">
      <c r="A5" s="37" t="s">
        <v>46</v>
      </c>
    </row>
    <row r="6" spans="1:1" x14ac:dyDescent="0.25">
      <c r="A6" s="37" t="s">
        <v>43</v>
      </c>
    </row>
    <row r="7" spans="1:1" x14ac:dyDescent="0.25">
      <c r="A7" s="37" t="s">
        <v>5</v>
      </c>
    </row>
    <row r="8" spans="1:1" x14ac:dyDescent="0.25">
      <c r="A8" s="37" t="s">
        <v>28</v>
      </c>
    </row>
    <row r="9" spans="1:1" x14ac:dyDescent="0.25">
      <c r="A9" s="37" t="s">
        <v>3</v>
      </c>
    </row>
    <row r="10" spans="1:1" x14ac:dyDescent="0.25">
      <c r="A10" s="37" t="s">
        <v>8</v>
      </c>
    </row>
    <row r="11" spans="1:1" x14ac:dyDescent="0.25">
      <c r="A11" s="37" t="s">
        <v>4</v>
      </c>
    </row>
    <row r="12" spans="1:1" x14ac:dyDescent="0.25">
      <c r="A12" s="37" t="s">
        <v>12</v>
      </c>
    </row>
    <row r="13" spans="1:1" x14ac:dyDescent="0.25">
      <c r="A13" s="37" t="s">
        <v>7</v>
      </c>
    </row>
    <row r="14" spans="1:1" x14ac:dyDescent="0.25">
      <c r="A14" s="37" t="s">
        <v>11</v>
      </c>
    </row>
    <row r="15" spans="1:1" x14ac:dyDescent="0.25">
      <c r="A15" s="37" t="s">
        <v>1</v>
      </c>
    </row>
    <row r="16" spans="1:1" x14ac:dyDescent="0.25">
      <c r="A16" s="37" t="s">
        <v>15</v>
      </c>
    </row>
    <row r="17" spans="1:1" x14ac:dyDescent="0.25">
      <c r="A17" s="37" t="s">
        <v>44</v>
      </c>
    </row>
    <row r="18" spans="1:1" x14ac:dyDescent="0.25">
      <c r="A18" s="37" t="s">
        <v>9</v>
      </c>
    </row>
    <row r="19" spans="1:1" x14ac:dyDescent="0.25">
      <c r="A19" s="37" t="s">
        <v>31</v>
      </c>
    </row>
    <row r="20" spans="1:1" x14ac:dyDescent="0.25">
      <c r="A20" s="37" t="s">
        <v>39</v>
      </c>
    </row>
    <row r="21" spans="1:1" x14ac:dyDescent="0.25">
      <c r="A21" s="37" t="s">
        <v>42</v>
      </c>
    </row>
    <row r="22" spans="1:1" x14ac:dyDescent="0.25">
      <c r="A22" s="37" t="s">
        <v>14</v>
      </c>
    </row>
    <row r="23" spans="1:1" x14ac:dyDescent="0.25">
      <c r="A23" s="37" t="s">
        <v>49</v>
      </c>
    </row>
    <row r="24" spans="1:1" x14ac:dyDescent="0.25">
      <c r="A24" s="37" t="s">
        <v>45</v>
      </c>
    </row>
    <row r="25" spans="1:1" x14ac:dyDescent="0.25">
      <c r="A25" s="37" t="s">
        <v>17</v>
      </c>
    </row>
    <row r="26" spans="1:1" x14ac:dyDescent="0.25">
      <c r="A26" s="37" t="s">
        <v>16</v>
      </c>
    </row>
    <row r="27" spans="1:1" x14ac:dyDescent="0.25">
      <c r="A27" s="37" t="s">
        <v>30</v>
      </c>
    </row>
    <row r="28" spans="1:1" x14ac:dyDescent="0.25">
      <c r="A28" s="37" t="s">
        <v>6</v>
      </c>
    </row>
    <row r="29" spans="1:1" x14ac:dyDescent="0.25">
      <c r="A29" s="37" t="s">
        <v>33</v>
      </c>
    </row>
    <row r="30" spans="1:1" x14ac:dyDescent="0.25">
      <c r="A30" s="37" t="s">
        <v>40</v>
      </c>
    </row>
    <row r="31" spans="1:1" x14ac:dyDescent="0.25">
      <c r="A31" s="37" t="s">
        <v>24</v>
      </c>
    </row>
    <row r="32" spans="1:1" x14ac:dyDescent="0.25">
      <c r="A32" s="37" t="s">
        <v>19</v>
      </c>
    </row>
    <row r="33" spans="1:1" x14ac:dyDescent="0.25">
      <c r="A33" s="37" t="s">
        <v>37</v>
      </c>
    </row>
    <row r="34" spans="1:1" x14ac:dyDescent="0.25">
      <c r="A34" s="37" t="s">
        <v>41</v>
      </c>
    </row>
    <row r="35" spans="1:1" x14ac:dyDescent="0.25">
      <c r="A35" s="37" t="s">
        <v>35</v>
      </c>
    </row>
    <row r="36" spans="1:1" x14ac:dyDescent="0.25">
      <c r="A36" s="37" t="s">
        <v>23</v>
      </c>
    </row>
    <row r="37" spans="1:1" x14ac:dyDescent="0.25">
      <c r="A37" s="37" t="s">
        <v>2</v>
      </c>
    </row>
    <row r="38" spans="1:1" x14ac:dyDescent="0.25">
      <c r="A38" s="37" t="s">
        <v>36</v>
      </c>
    </row>
    <row r="39" spans="1:1" x14ac:dyDescent="0.25">
      <c r="A39" s="37" t="s">
        <v>26</v>
      </c>
    </row>
    <row r="40" spans="1:1" x14ac:dyDescent="0.25">
      <c r="A40" s="37" t="s">
        <v>10</v>
      </c>
    </row>
    <row r="41" spans="1:1" x14ac:dyDescent="0.25">
      <c r="A41" s="37" t="s">
        <v>29</v>
      </c>
    </row>
    <row r="42" spans="1:1" x14ac:dyDescent="0.25">
      <c r="A42" s="37" t="s">
        <v>18</v>
      </c>
    </row>
    <row r="43" spans="1:1" x14ac:dyDescent="0.25">
      <c r="A43" s="37" t="s">
        <v>27</v>
      </c>
    </row>
    <row r="44" spans="1:1" x14ac:dyDescent="0.25">
      <c r="A44" s="37" t="s">
        <v>21</v>
      </c>
    </row>
    <row r="45" spans="1:1" x14ac:dyDescent="0.25">
      <c r="A45" s="37" t="s">
        <v>25</v>
      </c>
    </row>
    <row r="46" spans="1:1" x14ac:dyDescent="0.25">
      <c r="A46" s="37" t="s">
        <v>47</v>
      </c>
    </row>
    <row r="47" spans="1:1" x14ac:dyDescent="0.25">
      <c r="A47" s="37" t="s">
        <v>32</v>
      </c>
    </row>
    <row r="48" spans="1:1" x14ac:dyDescent="0.25">
      <c r="A48" s="37" t="s">
        <v>20</v>
      </c>
    </row>
    <row r="49" spans="1:1" x14ac:dyDescent="0.25">
      <c r="A49" s="37" t="s">
        <v>22</v>
      </c>
    </row>
    <row r="50" spans="1:1" x14ac:dyDescent="0.25">
      <c r="A50" s="37" t="s">
        <v>34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D98F71B4-0C4E-464B-8DD1-FE385FAE2F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69849B-37F1-4594-8DF9-7938EC83CA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80C06D-F603-4315-BF13-982EB8576E3A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de Q. Moura</dc:creator>
  <cp:lastModifiedBy>Mateus Queiroz</cp:lastModifiedBy>
  <dcterms:created xsi:type="dcterms:W3CDTF">2025-04-28T22:47:29Z</dcterms:created>
  <dcterms:modified xsi:type="dcterms:W3CDTF">2026-10-06T12:09:53Z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